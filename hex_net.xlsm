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Aditya\PMRF\TSEC_Excel_Certificate_Course\"/>
    </mc:Choice>
  </mc:AlternateContent>
  <xr:revisionPtr revIDLastSave="0" documentId="13_ncr:1_{3A36A551-56B1-47F5-8318-8B8A112F521B}" xr6:coauthVersionLast="47" xr6:coauthVersionMax="47" xr10:uidLastSave="{00000000-0000-0000-0000-000000000000}"/>
  <bookViews>
    <workbookView xWindow="-110" yWindow="-110" windowWidth="19420" windowHeight="10300" xr2:uid="{E7840AEF-6CF3-4DDE-B7E1-7A3C22FF66EF}"/>
  </bookViews>
  <sheets>
    <sheet name="Sheet1" sheetId="1" r:id="rId1"/>
  </sheets>
  <definedNames>
    <definedName name="solver_adj" localSheetId="0" hidden="1">Sheet1!$V$83:$V$88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Sheet1!$B$5</definedName>
    <definedName name="solver_lhs10" localSheetId="0" hidden="1">Sheet1!$B$2:$B$4</definedName>
    <definedName name="solver_lhs11" localSheetId="0" hidden="1">Sheet1!$B$5</definedName>
    <definedName name="solver_lhs2" localSheetId="0" hidden="1">Sheet1!$B$5</definedName>
    <definedName name="solver_lhs3" localSheetId="0" hidden="1">Sheet1!$B$5</definedName>
    <definedName name="solver_lhs4" localSheetId="0" hidden="1">Sheet1!$B$5</definedName>
    <definedName name="solver_lhs5" localSheetId="0" hidden="1">Sheet1!$B$5</definedName>
    <definedName name="solver_lhs6" localSheetId="0" hidden="1">Sheet1!$B$5</definedName>
    <definedName name="solver_lhs7" localSheetId="0" hidden="1">Sheet1!$B$5</definedName>
    <definedName name="solver_lhs8" localSheetId="0" hidden="1">Sheet1!$B$5</definedName>
    <definedName name="solver_lhs9" localSheetId="0" hidden="1">Sheet1!$B$5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11</definedName>
    <definedName name="solver_nwt" localSheetId="0" hidden="1">1</definedName>
    <definedName name="solver_opt" localSheetId="0" hidden="1">Sheet1!$W$89</definedName>
    <definedName name="solver_pre" localSheetId="0" hidden="1">0.000001</definedName>
    <definedName name="solver_rbv" localSheetId="0" hidden="1">1</definedName>
    <definedName name="solver_rel1" localSheetId="0" hidden="1">2</definedName>
    <definedName name="solver_rel10" localSheetId="0" hidden="1">1</definedName>
    <definedName name="solver_rel11" localSheetId="0" hidden="1">2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1</definedName>
    <definedName name="solver_rhs10" localSheetId="0" hidden="1">1</definedName>
    <definedName name="solver_rhs11" localSheetId="0" hidden="1">1</definedName>
    <definedName name="solver_rhs2" localSheetId="0" hidden="1">1</definedName>
    <definedName name="solver_rhs3" localSheetId="0" hidden="1">1</definedName>
    <definedName name="solver_rhs4" localSheetId="0" hidden="1">1</definedName>
    <definedName name="solver_rhs5" localSheetId="0" hidden="1">1</definedName>
    <definedName name="solver_rhs6" localSheetId="0" hidden="1">1</definedName>
    <definedName name="solver_rhs7" localSheetId="0" hidden="1">1</definedName>
    <definedName name="solver_rhs8" localSheetId="0" hidden="1">1</definedName>
    <definedName name="solver_rhs9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1" l="1"/>
  <c r="AU68" i="1"/>
  <c r="AE68" i="1"/>
  <c r="AX7" i="1"/>
  <c r="AH7" i="1"/>
  <c r="AH68" i="1"/>
  <c r="AX68" i="1"/>
  <c r="BN41" i="1"/>
  <c r="BN13" i="1"/>
  <c r="AX13" i="1"/>
  <c r="AU41" i="1"/>
  <c r="AE41" i="1"/>
  <c r="AE13" i="1"/>
  <c r="AU13" i="1"/>
  <c r="BK13" i="1"/>
  <c r="BK68" i="1"/>
  <c r="BK41" i="1"/>
  <c r="AX62" i="1"/>
  <c r="AH62" i="1"/>
  <c r="AX35" i="1"/>
  <c r="AH35" i="1"/>
  <c r="AE12" i="1"/>
  <c r="AH13" i="1" s="1"/>
  <c r="AU40" i="1"/>
  <c r="AX41" i="1" s="1"/>
  <c r="AU67" i="1"/>
  <c r="AE67" i="1" s="1"/>
  <c r="AE40" i="1"/>
  <c r="AH41" i="1" s="1"/>
  <c r="AU12" i="1"/>
  <c r="CE39" i="1"/>
  <c r="BN68" i="1"/>
  <c r="Y12" i="1"/>
  <c r="Y40" i="1"/>
  <c r="Y67" i="1"/>
  <c r="Y66" i="1"/>
  <c r="AH67" i="1" s="1"/>
  <c r="Y39" i="1"/>
  <c r="AH40" i="1" s="1"/>
  <c r="Y11" i="1"/>
  <c r="AX12" i="1" s="1"/>
  <c r="BN12" i="1" l="1"/>
  <c r="BN15" i="1" s="1"/>
  <c r="BN67" i="1"/>
  <c r="BN69" i="1" s="1"/>
  <c r="BP68" i="1" s="1"/>
  <c r="AX40" i="1"/>
  <c r="AX42" i="1" s="1"/>
  <c r="AX67" i="1"/>
  <c r="AX70" i="1" s="1"/>
  <c r="AH70" i="1"/>
  <c r="BN40" i="1"/>
  <c r="BN42" i="1" s="1"/>
  <c r="BP41" i="1" s="1"/>
  <c r="AH12" i="1"/>
  <c r="AH15" i="1" s="1"/>
  <c r="AH43" i="1"/>
  <c r="AH42" i="1"/>
  <c r="AJ41" i="1" s="1"/>
  <c r="AX14" i="1"/>
  <c r="AZ13" i="1" s="1"/>
  <c r="AH69" i="1"/>
  <c r="AX15" i="1"/>
  <c r="BN14" i="1" l="1"/>
  <c r="BP13" i="1" s="1"/>
  <c r="BN70" i="1"/>
  <c r="BP67" i="1" s="1"/>
  <c r="BP69" i="1" s="1"/>
  <c r="AH14" i="1"/>
  <c r="AJ13" i="1" s="1"/>
  <c r="BN43" i="1"/>
  <c r="BP40" i="1" s="1"/>
  <c r="BP42" i="1" s="1"/>
  <c r="AX43" i="1"/>
  <c r="AZ40" i="1" s="1"/>
  <c r="AJ40" i="1"/>
  <c r="AJ42" i="1" s="1"/>
  <c r="AE42" i="1" s="1"/>
  <c r="AO40" i="1" s="1"/>
  <c r="AX69" i="1"/>
  <c r="AZ67" i="1" s="1"/>
  <c r="AZ12" i="1"/>
  <c r="AZ14" i="1" s="1"/>
  <c r="AZ41" i="1"/>
  <c r="AJ68" i="1"/>
  <c r="AJ67" i="1"/>
  <c r="BP12" i="1" l="1"/>
  <c r="BP14" i="1" s="1"/>
  <c r="AZ42" i="1"/>
  <c r="AU42" i="1" s="1"/>
  <c r="BE40" i="1" s="1"/>
  <c r="AJ12" i="1"/>
  <c r="AJ14" i="1" s="1"/>
  <c r="AE14" i="1" s="1"/>
  <c r="AH18" i="1" s="1"/>
  <c r="AZ68" i="1"/>
  <c r="AZ69" i="1" s="1"/>
  <c r="AJ69" i="1"/>
  <c r="AE69" i="1" s="1"/>
  <c r="AH73" i="1" s="1"/>
  <c r="AH46" i="1"/>
  <c r="AO12" i="1" l="1"/>
  <c r="AO67" i="1"/>
  <c r="AU69" i="1" s="1"/>
  <c r="AX73" i="1" s="1"/>
  <c r="W87" i="1" s="1"/>
  <c r="AX46" i="1"/>
  <c r="W83" i="1" s="1"/>
  <c r="BK42" i="1"/>
  <c r="BN46" i="1" s="1"/>
  <c r="W88" i="1" s="1"/>
  <c r="BE67" i="1" l="1"/>
  <c r="BK69" i="1" s="1"/>
  <c r="BN73" i="1" s="1"/>
  <c r="W86" i="1" s="1"/>
  <c r="BU40" i="1"/>
  <c r="BU67" i="1" l="1"/>
  <c r="AU14" i="1" l="1"/>
  <c r="AX18" i="1" s="1"/>
  <c r="W85" i="1" s="1"/>
  <c r="BE12" i="1" l="1"/>
  <c r="BK14" i="1" l="1"/>
  <c r="BN18" i="1" s="1"/>
  <c r="W84" i="1" s="1"/>
  <c r="W89" i="1" s="1"/>
  <c r="BU12" i="1" l="1"/>
  <c r="CE40" i="1" s="1"/>
</calcChain>
</file>

<file path=xl/sharedStrings.xml><?xml version="1.0" encoding="utf-8"?>
<sst xmlns="http://schemas.openxmlformats.org/spreadsheetml/2006/main" count="249" uniqueCount="49">
  <si>
    <t>Split Ratio</t>
  </si>
  <si>
    <t>Stream 1</t>
  </si>
  <si>
    <t>Stream 2</t>
  </si>
  <si>
    <t>Stream 3</t>
  </si>
  <si>
    <t>Cp</t>
  </si>
  <si>
    <t>Crude</t>
  </si>
  <si>
    <t>Tcal/ton-C</t>
  </si>
  <si>
    <t>D1</t>
  </si>
  <si>
    <t>D2</t>
  </si>
  <si>
    <t>D3</t>
  </si>
  <si>
    <t>HE 11</t>
  </si>
  <si>
    <t>STATUS</t>
  </si>
  <si>
    <t>E</t>
  </si>
  <si>
    <t>(E=Enabled, D=Disabled)</t>
  </si>
  <si>
    <t>m_H</t>
  </si>
  <si>
    <t>UAF</t>
  </si>
  <si>
    <t>Heat Duty</t>
  </si>
  <si>
    <t>mCp_c</t>
  </si>
  <si>
    <t>mCp_h</t>
  </si>
  <si>
    <t>Cmin</t>
  </si>
  <si>
    <t>Cmax</t>
  </si>
  <si>
    <t>Flowrate</t>
  </si>
  <si>
    <t>Temp.</t>
  </si>
  <si>
    <t>C</t>
  </si>
  <si>
    <t>Temp IN</t>
  </si>
  <si>
    <t>Temp OUT</t>
  </si>
  <si>
    <t>NTU</t>
  </si>
  <si>
    <t>ϵ</t>
  </si>
  <si>
    <t>ton/hr</t>
  </si>
  <si>
    <t>Gcal/hrC</t>
  </si>
  <si>
    <t>Gcal/hr</t>
  </si>
  <si>
    <t>HE 12</t>
  </si>
  <si>
    <t>HE 13</t>
  </si>
  <si>
    <t>HE 21</t>
  </si>
  <si>
    <t>HE 22</t>
  </si>
  <si>
    <t>HE 23</t>
  </si>
  <si>
    <t>HE 31</t>
  </si>
  <si>
    <t>HE 32</t>
  </si>
  <si>
    <t>HE 33</t>
  </si>
  <si>
    <t>HE11</t>
  </si>
  <si>
    <t>HE12</t>
  </si>
  <si>
    <t>HE21</t>
  </si>
  <si>
    <t>HE22</t>
  </si>
  <si>
    <t>HE31</t>
  </si>
  <si>
    <t>HE32</t>
  </si>
  <si>
    <t>Pretear values</t>
  </si>
  <si>
    <t>Tear</t>
  </si>
  <si>
    <t>Residue^2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</si>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</sst>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5" borderId="4" xfId="0" applyFill="1" applyBorder="1"/>
    <xf numFmtId="0" fontId="0" fillId="5" borderId="0" xfId="0" applyFill="1"/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12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3" borderId="21" xfId="0" applyFill="1" applyBorder="1"/>
    <xf numFmtId="0" fontId="0" fillId="3" borderId="22" xfId="0" applyFill="1" applyBorder="1"/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6" borderId="6" xfId="0" applyFill="1" applyBorder="1"/>
    <xf numFmtId="0" fontId="0" fillId="6" borderId="7" xfId="0" applyFill="1" applyBorder="1"/>
    <xf numFmtId="0" fontId="0" fillId="6" borderId="8" xfId="0" applyFill="1" applyBorder="1"/>
    <xf numFmtId="0" fontId="0" fillId="8" borderId="0" xfId="0" applyFill="1" applyAlignment="1">
      <alignment horizontal="center"/>
    </xf>
    <xf numFmtId="0" fontId="0" fillId="9" borderId="0" xfId="0" applyFill="1"/>
    <xf numFmtId="0" fontId="0" fillId="7" borderId="0" xfId="0" applyFill="1"/>
    <xf numFmtId="0" fontId="0" fillId="10" borderId="0" xfId="0" applyFill="1"/>
    <xf numFmtId="0" fontId="0" fillId="0" borderId="0" xfId="0" applyFill="1"/>
    <xf numFmtId="0" fontId="0" fillId="0" borderId="2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11</xdr:row>
          <xdr:rowOff>152400</xdr:rowOff>
        </xdr:from>
        <xdr:to>
          <xdr:col>2</xdr:col>
          <xdr:colOff>406400</xdr:colOff>
          <xdr:row>14</xdr:row>
          <xdr:rowOff>6350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tear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482600</xdr:colOff>
          <xdr:row>15</xdr:row>
          <xdr:rowOff>133350</xdr:rowOff>
        </xdr:from>
        <xdr:to>
          <xdr:col>2</xdr:col>
          <xdr:colOff>450850</xdr:colOff>
          <xdr:row>17</xdr:row>
          <xdr:rowOff>184150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488950</xdr:colOff>
          <xdr:row>20</xdr:row>
          <xdr:rowOff>12700</xdr:rowOff>
        </xdr:from>
        <xdr:to>
          <xdr:col>2</xdr:col>
          <xdr:colOff>450850</xdr:colOff>
          <xdr:row>22</xdr:row>
          <xdr:rowOff>76200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99217-EC98-45C6-B8AF-F08D552C2316}">
  <sheetPr codeName="Sheet1"/>
  <dimension ref="A1:CF89"/>
  <sheetViews>
    <sheetView tabSelected="1" zoomScale="46" zoomScaleNormal="55" workbookViewId="0">
      <selection activeCell="O18" sqref="O18"/>
    </sheetView>
  </sheetViews>
  <sheetFormatPr defaultRowHeight="14.5" x14ac:dyDescent="0.35"/>
  <cols>
    <col min="2" max="2" width="8.81640625" bestFit="1" customWidth="1"/>
    <col min="14" max="14" width="8.81640625" bestFit="1" customWidth="1"/>
    <col min="19" max="19" width="5.08984375" customWidth="1"/>
    <col min="21" max="22" width="8.81640625" bestFit="1" customWidth="1"/>
    <col min="23" max="23" width="14" bestFit="1" customWidth="1"/>
    <col min="25" max="25" width="8.81640625" bestFit="1" customWidth="1"/>
    <col min="31" max="31" width="8.7265625" customWidth="1"/>
    <col min="32" max="32" width="7.90625" customWidth="1"/>
    <col min="33" max="33" width="6.1796875" customWidth="1"/>
    <col min="34" max="34" width="8.81640625" bestFit="1" customWidth="1"/>
    <col min="36" max="36" width="8.81640625" bestFit="1" customWidth="1"/>
    <col min="41" max="41" width="8.81640625" bestFit="1" customWidth="1"/>
    <col min="47" max="47" width="8.81640625" bestFit="1" customWidth="1"/>
    <col min="50" max="50" width="8.81640625" bestFit="1" customWidth="1"/>
    <col min="52" max="52" width="8.81640625" bestFit="1" customWidth="1"/>
    <col min="57" max="57" width="8.81640625" bestFit="1" customWidth="1"/>
    <col min="63" max="63" width="8.81640625" bestFit="1" customWidth="1"/>
    <col min="66" max="66" width="8.81640625" bestFit="1" customWidth="1"/>
    <col min="68" max="68" width="8.81640625" bestFit="1" customWidth="1"/>
    <col min="73" max="73" width="8.81640625" bestFit="1" customWidth="1"/>
    <col min="78" max="78" width="4.26953125" customWidth="1"/>
    <col min="83" max="83" width="8.81640625" bestFit="1" customWidth="1"/>
  </cols>
  <sheetData>
    <row r="1" spans="1:78" x14ac:dyDescent="0.35">
      <c r="A1" t="s">
        <v>0</v>
      </c>
    </row>
    <row r="2" spans="1:78" x14ac:dyDescent="0.35">
      <c r="A2" t="s">
        <v>1</v>
      </c>
      <c r="B2">
        <v>0.42204212363067956</v>
      </c>
    </row>
    <row r="3" spans="1:78" x14ac:dyDescent="0.35">
      <c r="A3" t="s">
        <v>2</v>
      </c>
      <c r="B3">
        <v>0.2184628968194183</v>
      </c>
    </row>
    <row r="4" spans="1:78" x14ac:dyDescent="0.35">
      <c r="A4" t="s">
        <v>3</v>
      </c>
      <c r="B4">
        <v>0.35949497863020718</v>
      </c>
      <c r="AG4" s="42"/>
      <c r="AH4" s="42"/>
      <c r="AI4" s="42"/>
      <c r="AJ4" s="42"/>
      <c r="AK4" s="42"/>
      <c r="AL4" s="42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L4" s="40" t="s">
        <v>7</v>
      </c>
      <c r="BM4" s="40"/>
      <c r="BN4" s="40"/>
    </row>
    <row r="5" spans="1:78" x14ac:dyDescent="0.35">
      <c r="B5">
        <f>SUM(B2:B4)</f>
        <v>0.99999999908030501</v>
      </c>
      <c r="AG5" s="42"/>
      <c r="AL5" s="42"/>
      <c r="AW5" s="41"/>
      <c r="BH5" s="41"/>
      <c r="BM5" s="41"/>
    </row>
    <row r="6" spans="1:78" ht="15" thickBot="1" x14ac:dyDescent="0.4">
      <c r="B6" t="s">
        <v>4</v>
      </c>
      <c r="AG6" s="42"/>
      <c r="AL6" s="42"/>
      <c r="AW6" s="41"/>
      <c r="BH6" s="41"/>
      <c r="BM6" s="41"/>
    </row>
    <row r="7" spans="1:78" ht="15" thickBot="1" x14ac:dyDescent="0.4">
      <c r="A7" t="s">
        <v>5</v>
      </c>
      <c r="B7">
        <v>0.45</v>
      </c>
      <c r="C7" t="s">
        <v>6</v>
      </c>
      <c r="AE7" s="11" t="s">
        <v>24</v>
      </c>
      <c r="AF7" s="12"/>
      <c r="AG7" s="12"/>
      <c r="AH7" s="12">
        <f>V83</f>
        <v>126.51705903698569</v>
      </c>
      <c r="AI7" s="13" t="s">
        <v>23</v>
      </c>
      <c r="AL7" s="42"/>
      <c r="AU7" s="11" t="s">
        <v>24</v>
      </c>
      <c r="AV7" s="12"/>
      <c r="AW7" s="12"/>
      <c r="AX7" s="12">
        <f>V84</f>
        <v>164.63750999723547</v>
      </c>
      <c r="AY7" s="13" t="s">
        <v>23</v>
      </c>
      <c r="BH7" s="41"/>
      <c r="BK7" s="11" t="s">
        <v>24</v>
      </c>
      <c r="BL7" s="12"/>
      <c r="BM7" s="12"/>
      <c r="BN7" s="12">
        <v>180</v>
      </c>
      <c r="BO7" s="13" t="s">
        <v>23</v>
      </c>
    </row>
    <row r="8" spans="1:78" x14ac:dyDescent="0.35">
      <c r="A8" t="s">
        <v>7</v>
      </c>
      <c r="B8">
        <v>0.6</v>
      </c>
      <c r="AG8" s="42"/>
      <c r="AL8" s="42"/>
      <c r="AW8" s="41"/>
      <c r="BH8" s="41"/>
      <c r="BM8" s="41"/>
    </row>
    <row r="9" spans="1:78" ht="15" thickBot="1" x14ac:dyDescent="0.4">
      <c r="A9" t="s">
        <v>8</v>
      </c>
      <c r="B9">
        <v>0.59</v>
      </c>
      <c r="AG9" s="42"/>
      <c r="AL9" s="42"/>
      <c r="AW9" s="41"/>
      <c r="BH9" s="41"/>
      <c r="BM9" s="41"/>
    </row>
    <row r="10" spans="1:78" ht="15" thickBot="1" x14ac:dyDescent="0.4">
      <c r="A10" t="s">
        <v>9</v>
      </c>
      <c r="B10">
        <v>0.57999999999999996</v>
      </c>
      <c r="AD10" s="31" t="s">
        <v>10</v>
      </c>
      <c r="AE10" s="32"/>
      <c r="AF10" s="32"/>
      <c r="AG10" s="32"/>
      <c r="AH10" s="32"/>
      <c r="AI10" s="32"/>
      <c r="AJ10" s="33"/>
      <c r="AL10" s="42"/>
      <c r="AT10" s="31" t="s">
        <v>31</v>
      </c>
      <c r="AU10" s="32"/>
      <c r="AV10" s="32"/>
      <c r="AW10" s="32"/>
      <c r="AX10" s="32"/>
      <c r="AY10" s="32"/>
      <c r="AZ10" s="33"/>
      <c r="BH10" s="41"/>
      <c r="BJ10" s="31" t="s">
        <v>32</v>
      </c>
      <c r="BK10" s="32"/>
      <c r="BL10" s="32"/>
      <c r="BM10" s="32"/>
      <c r="BN10" s="32"/>
      <c r="BO10" s="32"/>
      <c r="BP10" s="33"/>
    </row>
    <row r="11" spans="1:78" ht="15" thickBot="1" x14ac:dyDescent="0.4">
      <c r="X11" s="29" t="s">
        <v>21</v>
      </c>
      <c r="Y11" s="3">
        <f>$B$2*N39</f>
        <v>422.04212363067955</v>
      </c>
      <c r="Z11" s="4" t="s">
        <v>28</v>
      </c>
      <c r="AD11" s="14" t="s">
        <v>11</v>
      </c>
      <c r="AE11" s="15" t="s">
        <v>12</v>
      </c>
      <c r="AF11" s="15" t="s">
        <v>13</v>
      </c>
      <c r="AG11" s="15"/>
      <c r="AH11" s="15"/>
      <c r="AI11" s="15"/>
      <c r="AJ11" s="16"/>
      <c r="AL11" s="42"/>
      <c r="AT11" s="14" t="s">
        <v>11</v>
      </c>
      <c r="AU11" s="15" t="s">
        <v>12</v>
      </c>
      <c r="AV11" s="15" t="s">
        <v>13</v>
      </c>
      <c r="AW11" s="15"/>
      <c r="AX11" s="15"/>
      <c r="AY11" s="15"/>
      <c r="AZ11" s="16"/>
      <c r="BH11" s="41"/>
      <c r="BJ11" s="14" t="s">
        <v>11</v>
      </c>
      <c r="BK11" s="15" t="s">
        <v>12</v>
      </c>
      <c r="BL11" s="15" t="s">
        <v>13</v>
      </c>
      <c r="BM11" s="15"/>
      <c r="BN11" s="15"/>
      <c r="BO11" s="15"/>
      <c r="BP11" s="16"/>
    </row>
    <row r="12" spans="1:78" ht="15" thickBot="1" x14ac:dyDescent="0.4">
      <c r="S12" s="1"/>
      <c r="T12" s="1"/>
      <c r="U12" s="1"/>
      <c r="V12" s="1"/>
      <c r="W12" s="1"/>
      <c r="X12" s="30" t="s">
        <v>22</v>
      </c>
      <c r="Y12" s="6">
        <f>$N$40</f>
        <v>25</v>
      </c>
      <c r="Z12" s="7" t="s">
        <v>23</v>
      </c>
      <c r="AA12" s="1"/>
      <c r="AB12" s="1"/>
      <c r="AC12" s="1"/>
      <c r="AD12" s="25" t="s">
        <v>14</v>
      </c>
      <c r="AE12" s="21">
        <f>AU40</f>
        <v>150</v>
      </c>
      <c r="AF12" s="22" t="s">
        <v>28</v>
      </c>
      <c r="AG12" s="20" t="s">
        <v>17</v>
      </c>
      <c r="AH12" s="22">
        <f>$Y$11*$B$7*0.001</f>
        <v>0.18991895563380581</v>
      </c>
      <c r="AI12" s="21" t="s">
        <v>23</v>
      </c>
      <c r="AJ12" s="26">
        <f>AH14/AH15</f>
        <v>0.45809013486652672</v>
      </c>
      <c r="AK12" s="1"/>
      <c r="AL12" s="1"/>
      <c r="AM12" s="1"/>
      <c r="AN12" s="8" t="s">
        <v>22</v>
      </c>
      <c r="AO12" s="9">
        <f>Y12+AE14/AH12</f>
        <v>52.164220236342317</v>
      </c>
      <c r="AP12" s="10" t="s">
        <v>23</v>
      </c>
      <c r="AQ12" s="1"/>
      <c r="AR12" s="1"/>
      <c r="AS12" s="1"/>
      <c r="AT12" s="25" t="s">
        <v>14</v>
      </c>
      <c r="AU12" s="21">
        <f>BK12</f>
        <v>100</v>
      </c>
      <c r="AV12" s="22" t="s">
        <v>28</v>
      </c>
      <c r="AW12" s="20" t="s">
        <v>17</v>
      </c>
      <c r="AX12" s="22">
        <f>$Y$11*$B$7*0.001</f>
        <v>0.18991895563380581</v>
      </c>
      <c r="AY12" s="21" t="s">
        <v>23</v>
      </c>
      <c r="AZ12" s="26">
        <f>AX14/AX15</f>
        <v>0.31592423094243216</v>
      </c>
      <c r="BA12" s="1"/>
      <c r="BB12" s="1"/>
      <c r="BC12" s="1"/>
      <c r="BD12" s="8" t="s">
        <v>22</v>
      </c>
      <c r="BE12" s="9">
        <f>AO12+AU14/AX12</f>
        <v>77.482367158705472</v>
      </c>
      <c r="BF12" s="10" t="s">
        <v>23</v>
      </c>
      <c r="BG12" s="1"/>
      <c r="BH12" s="1"/>
      <c r="BI12" s="1"/>
      <c r="BJ12" s="25" t="s">
        <v>14</v>
      </c>
      <c r="BK12" s="21">
        <v>100</v>
      </c>
      <c r="BL12" s="22" t="s">
        <v>28</v>
      </c>
      <c r="BM12" s="20" t="s">
        <v>17</v>
      </c>
      <c r="BN12" s="22">
        <f>$Y$11*$B$7*0.001</f>
        <v>0.18991895563380581</v>
      </c>
      <c r="BO12" s="21" t="s">
        <v>23</v>
      </c>
      <c r="BP12" s="26">
        <f>BN14/BN15</f>
        <v>0.31592423094243216</v>
      </c>
      <c r="BQ12" s="1"/>
      <c r="BR12" s="1"/>
      <c r="BS12" s="1"/>
      <c r="BT12" s="8" t="s">
        <v>22</v>
      </c>
      <c r="BU12" s="9">
        <f>BE12+BK14/BN12</f>
        <v>82.335760036277222</v>
      </c>
      <c r="BV12" s="10" t="s">
        <v>23</v>
      </c>
      <c r="BW12" s="1"/>
      <c r="BX12" s="1"/>
      <c r="BY12" s="1"/>
      <c r="BZ12" s="1"/>
    </row>
    <row r="13" spans="1:78" x14ac:dyDescent="0.35">
      <c r="S13" s="1"/>
      <c r="AD13" s="14" t="s">
        <v>15</v>
      </c>
      <c r="AE13" s="15">
        <f>IF(AE11="E",0.1,0)</f>
        <v>0.1</v>
      </c>
      <c r="AF13" s="24" t="s">
        <v>29</v>
      </c>
      <c r="AG13" s="23" t="s">
        <v>18</v>
      </c>
      <c r="AH13" s="24">
        <f>AE12*$B$10*0.001</f>
        <v>8.7000000000000008E-2</v>
      </c>
      <c r="AI13" s="15" t="s">
        <v>26</v>
      </c>
      <c r="AJ13" s="16">
        <f>AE13/AH14</f>
        <v>1.1494252873563218</v>
      </c>
      <c r="AL13" s="42"/>
      <c r="AT13" s="14" t="s">
        <v>15</v>
      </c>
      <c r="AU13" s="15">
        <f>IF(AU11="E",0.1,0)</f>
        <v>0.1</v>
      </c>
      <c r="AV13" s="24" t="s">
        <v>29</v>
      </c>
      <c r="AW13" s="23" t="s">
        <v>18</v>
      </c>
      <c r="AX13" s="24">
        <f>AU12*$B$8*0.001</f>
        <v>0.06</v>
      </c>
      <c r="AY13" s="15" t="s">
        <v>26</v>
      </c>
      <c r="AZ13" s="16">
        <f>AU13/AX14</f>
        <v>1.6666666666666667</v>
      </c>
      <c r="BH13" s="41"/>
      <c r="BJ13" s="14" t="s">
        <v>15</v>
      </c>
      <c r="BK13" s="15">
        <f>IF(BK11="E",0.01,0)</f>
        <v>0.01</v>
      </c>
      <c r="BL13" s="24" t="s">
        <v>29</v>
      </c>
      <c r="BM13" s="23" t="s">
        <v>18</v>
      </c>
      <c r="BN13" s="24">
        <f>BK12*$B$8*0.001</f>
        <v>0.06</v>
      </c>
      <c r="BO13" s="15" t="s">
        <v>26</v>
      </c>
      <c r="BP13" s="16">
        <f>BK13/BN14</f>
        <v>0.16666666666666669</v>
      </c>
      <c r="BZ13" s="1"/>
    </row>
    <row r="14" spans="1:78" x14ac:dyDescent="0.35">
      <c r="S14" s="1"/>
      <c r="AD14" s="14" t="s">
        <v>16</v>
      </c>
      <c r="AE14" s="15">
        <f>AH14*AJ14*(AH7-Y12)</f>
        <v>5.1590003378928273</v>
      </c>
      <c r="AF14" s="24" t="s">
        <v>30</v>
      </c>
      <c r="AG14" s="23" t="s">
        <v>19</v>
      </c>
      <c r="AH14" s="24">
        <f>MIN(AH12,AH13)</f>
        <v>8.7000000000000008E-2</v>
      </c>
      <c r="AI14" s="15" t="s">
        <v>27</v>
      </c>
      <c r="AJ14" s="16">
        <f>IFERROR(2/(1+AJ12+SQRT(1+AJ12^2)*((1+EXP(-AJ13*SQRT(1+AJ12^2)))/(1-EXP(-AJ13*SQRT(1+AJ12^2))))),0)</f>
        <v>0.58412699324685824</v>
      </c>
      <c r="AL14" s="42"/>
      <c r="AT14" s="14" t="s">
        <v>16</v>
      </c>
      <c r="AU14" s="15">
        <f>AX14*AZ14*(AX7-AO12)</f>
        <v>4.8083960220784663</v>
      </c>
      <c r="AV14" s="24" t="s">
        <v>30</v>
      </c>
      <c r="AW14" s="23" t="s">
        <v>19</v>
      </c>
      <c r="AX14" s="24">
        <f>MIN(AX12,AX13)</f>
        <v>0.06</v>
      </c>
      <c r="AY14" s="15" t="s">
        <v>27</v>
      </c>
      <c r="AZ14" s="16">
        <f>IFERROR(2/(1+AZ12+SQRT(1+AZ12^2)*((1+EXP(-AZ13*SQRT(1+AZ12^2)))/(1-EXP(-AZ13*SQRT(1+AZ12^2))))),0)</f>
        <v>0.7125241368121904</v>
      </c>
      <c r="BH14" s="41"/>
      <c r="BJ14" s="14" t="s">
        <v>16</v>
      </c>
      <c r="BK14" s="15">
        <f>BN14*BP14*(BN7-BE12)</f>
        <v>0.92175130658897741</v>
      </c>
      <c r="BL14" s="24" t="s">
        <v>30</v>
      </c>
      <c r="BM14" s="23" t="s">
        <v>19</v>
      </c>
      <c r="BN14" s="24">
        <f>MIN(BN12,BN13)</f>
        <v>0.06</v>
      </c>
      <c r="BO14" s="15" t="s">
        <v>27</v>
      </c>
      <c r="BP14" s="16">
        <f>IFERROR(2/(1+BP12+SQRT(1+BP12^2)*((1+EXP(-BP13*SQRT(1+BP12^2)))/(1-EXP(-BP13*SQRT(1+BP12^2))))),0)</f>
        <v>0.14985248245309532</v>
      </c>
      <c r="BZ14" s="1"/>
    </row>
    <row r="15" spans="1:78" ht="15" thickBot="1" x14ac:dyDescent="0.4">
      <c r="S15" s="1"/>
      <c r="AD15" s="17"/>
      <c r="AE15" s="18"/>
      <c r="AF15" s="27"/>
      <c r="AG15" s="28" t="s">
        <v>20</v>
      </c>
      <c r="AH15" s="27">
        <f>MAX(AH12,AH13)</f>
        <v>0.18991895563380581</v>
      </c>
      <c r="AI15" s="18"/>
      <c r="AJ15" s="19"/>
      <c r="AL15" s="42"/>
      <c r="AT15" s="17"/>
      <c r="AU15" s="18"/>
      <c r="AV15" s="27"/>
      <c r="AW15" s="28" t="s">
        <v>20</v>
      </c>
      <c r="AX15" s="27">
        <f>MAX(AX12,AX13)</f>
        <v>0.18991895563380581</v>
      </c>
      <c r="AY15" s="18"/>
      <c r="AZ15" s="19"/>
      <c r="BH15" s="41"/>
      <c r="BJ15" s="17"/>
      <c r="BK15" s="18"/>
      <c r="BL15" s="27"/>
      <c r="BM15" s="28" t="s">
        <v>20</v>
      </c>
      <c r="BN15" s="27">
        <f>MAX(BN12,BN13)</f>
        <v>0.18991895563380581</v>
      </c>
      <c r="BO15" s="18"/>
      <c r="BP15" s="19"/>
      <c r="BZ15" s="1"/>
    </row>
    <row r="16" spans="1:78" x14ac:dyDescent="0.35">
      <c r="S16" s="1"/>
      <c r="AG16" s="42"/>
      <c r="AL16" s="42"/>
      <c r="AW16" s="41"/>
      <c r="BH16" s="41"/>
      <c r="BM16" s="41"/>
      <c r="BZ16" s="1"/>
    </row>
    <row r="17" spans="19:78" ht="15" thickBot="1" x14ac:dyDescent="0.4">
      <c r="S17" s="1"/>
      <c r="AG17" s="42"/>
      <c r="AL17" s="42"/>
      <c r="AW17" s="41"/>
      <c r="BH17" s="41"/>
      <c r="BM17" s="41"/>
      <c r="BZ17" s="1"/>
    </row>
    <row r="18" spans="19:78" ht="15" thickBot="1" x14ac:dyDescent="0.4">
      <c r="S18" s="1"/>
      <c r="AE18" s="11" t="s">
        <v>25</v>
      </c>
      <c r="AF18" s="12"/>
      <c r="AG18" s="12"/>
      <c r="AH18" s="12">
        <f>AH7-AE14/AH13</f>
        <v>67.218204578447455</v>
      </c>
      <c r="AI18" s="13" t="s">
        <v>23</v>
      </c>
      <c r="AL18" s="42"/>
      <c r="AU18" s="11" t="s">
        <v>25</v>
      </c>
      <c r="AV18" s="12"/>
      <c r="AW18" s="12"/>
      <c r="AX18" s="12">
        <f>AX7-AU14/AX13</f>
        <v>84.497576295927701</v>
      </c>
      <c r="AY18" s="13" t="s">
        <v>23</v>
      </c>
      <c r="BH18" s="41"/>
      <c r="BK18" s="11" t="s">
        <v>25</v>
      </c>
      <c r="BL18" s="12"/>
      <c r="BM18" s="12"/>
      <c r="BN18" s="12">
        <f>BN7-BK14/BN13</f>
        <v>164.63747822351704</v>
      </c>
      <c r="BO18" s="13" t="s">
        <v>23</v>
      </c>
      <c r="BZ18" s="1"/>
    </row>
    <row r="19" spans="19:78" x14ac:dyDescent="0.35">
      <c r="S19" s="1"/>
      <c r="AG19" s="42"/>
      <c r="AL19" s="42"/>
      <c r="AW19" s="41"/>
      <c r="BH19" s="41"/>
      <c r="BM19" s="41"/>
      <c r="BZ19" s="1"/>
    </row>
    <row r="20" spans="19:78" x14ac:dyDescent="0.35">
      <c r="S20" s="1"/>
      <c r="AG20" s="42"/>
      <c r="AL20" s="42"/>
      <c r="AW20" s="41"/>
      <c r="BH20" s="41"/>
      <c r="BM20" s="41"/>
      <c r="BZ20" s="1"/>
    </row>
    <row r="21" spans="19:78" x14ac:dyDescent="0.35">
      <c r="S21" s="1"/>
      <c r="AG21" s="42"/>
      <c r="AL21" s="42"/>
      <c r="AW21" s="41"/>
      <c r="BH21" s="41"/>
      <c r="BI21" s="41"/>
      <c r="BJ21" s="41"/>
      <c r="BK21" s="41"/>
      <c r="BL21" s="41"/>
      <c r="BM21" s="41"/>
      <c r="BZ21" s="1"/>
    </row>
    <row r="22" spans="19:78" x14ac:dyDescent="0.35">
      <c r="S22" s="1"/>
      <c r="AG22" s="42"/>
      <c r="AL22" s="42"/>
      <c r="AW22" s="41"/>
      <c r="BZ22" s="1"/>
    </row>
    <row r="23" spans="19:78" x14ac:dyDescent="0.35">
      <c r="S23" s="1"/>
      <c r="AL23" s="42"/>
      <c r="AW23" s="41"/>
      <c r="BZ23" s="1"/>
    </row>
    <row r="24" spans="19:78" x14ac:dyDescent="0.35">
      <c r="S24" s="1"/>
      <c r="AL24" s="42"/>
      <c r="AW24" s="41"/>
      <c r="BZ24" s="1"/>
    </row>
    <row r="25" spans="19:78" x14ac:dyDescent="0.35">
      <c r="S25" s="1"/>
      <c r="AL25" s="42"/>
      <c r="AW25" s="41"/>
      <c r="BZ25" s="1"/>
    </row>
    <row r="26" spans="19:78" x14ac:dyDescent="0.35">
      <c r="S26" s="1"/>
      <c r="AL26" s="42"/>
      <c r="AW26" s="41"/>
      <c r="BZ26" s="1"/>
    </row>
    <row r="27" spans="19:78" x14ac:dyDescent="0.35">
      <c r="S27" s="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BZ27" s="1"/>
    </row>
    <row r="28" spans="19:78" x14ac:dyDescent="0.35">
      <c r="S28" s="1"/>
      <c r="AG28" s="41"/>
      <c r="AL28" s="42"/>
      <c r="BZ28" s="1"/>
    </row>
    <row r="29" spans="19:78" x14ac:dyDescent="0.35">
      <c r="S29" s="1"/>
      <c r="AG29" s="41"/>
      <c r="AL29" s="42"/>
      <c r="BZ29" s="1"/>
    </row>
    <row r="30" spans="19:78" x14ac:dyDescent="0.35">
      <c r="S30" s="1"/>
      <c r="AG30" s="41"/>
      <c r="AL30" s="42"/>
      <c r="BZ30" s="1"/>
    </row>
    <row r="31" spans="19:78" x14ac:dyDescent="0.35">
      <c r="S31" s="1"/>
      <c r="AG31" s="41"/>
      <c r="AL31" s="42"/>
      <c r="BZ31" s="1"/>
    </row>
    <row r="32" spans="19:78" x14ac:dyDescent="0.35">
      <c r="S32" s="1"/>
      <c r="AG32" s="41"/>
      <c r="AL32" s="42"/>
      <c r="AM32" s="42"/>
      <c r="AN32" s="42"/>
      <c r="AO32" s="42"/>
      <c r="AP32" s="42"/>
      <c r="AQ32" s="42"/>
      <c r="AR32" s="42"/>
      <c r="AS32" s="44"/>
      <c r="AT32" s="44"/>
      <c r="AU32" s="44"/>
      <c r="AV32" s="44"/>
      <c r="AW32" s="42"/>
      <c r="AX32" s="42"/>
      <c r="AY32" s="42"/>
      <c r="AZ32" s="42"/>
      <c r="BA32" s="42"/>
      <c r="BB32" s="42"/>
      <c r="BL32" s="40" t="s">
        <v>8</v>
      </c>
      <c r="BM32" s="40"/>
      <c r="BN32" s="40"/>
      <c r="BZ32" s="1"/>
    </row>
    <row r="33" spans="10:84" x14ac:dyDescent="0.35">
      <c r="S33" s="1"/>
      <c r="AG33" s="41"/>
      <c r="AR33" s="42"/>
      <c r="AW33" s="42"/>
      <c r="BB33" s="42"/>
      <c r="BM33" s="43"/>
      <c r="BZ33" s="1"/>
    </row>
    <row r="34" spans="10:84" ht="15" thickBot="1" x14ac:dyDescent="0.4">
      <c r="S34" s="1"/>
      <c r="AG34" s="41"/>
      <c r="AR34" s="42"/>
      <c r="AW34" s="42"/>
      <c r="BB34" s="42"/>
      <c r="BM34" s="43"/>
      <c r="BZ34" s="1"/>
    </row>
    <row r="35" spans="10:84" ht="15" thickBot="1" x14ac:dyDescent="0.4">
      <c r="S35" s="1"/>
      <c r="AE35" s="11" t="s">
        <v>24</v>
      </c>
      <c r="AF35" s="12"/>
      <c r="AG35" s="12"/>
      <c r="AH35" s="12">
        <f>V85</f>
        <v>84.497656745853817</v>
      </c>
      <c r="AI35" s="13" t="s">
        <v>23</v>
      </c>
      <c r="AR35" s="42"/>
      <c r="AU35" s="11" t="s">
        <v>24</v>
      </c>
      <c r="AV35" s="12"/>
      <c r="AW35" s="12"/>
      <c r="AX35" s="12">
        <f>V86</f>
        <v>126.5170080156842</v>
      </c>
      <c r="AY35" s="13" t="s">
        <v>23</v>
      </c>
      <c r="BB35" s="42"/>
      <c r="BK35" s="11" t="s">
        <v>24</v>
      </c>
      <c r="BL35" s="12"/>
      <c r="BM35" s="12"/>
      <c r="BN35" s="12">
        <v>200</v>
      </c>
      <c r="BO35" s="13" t="s">
        <v>23</v>
      </c>
      <c r="BZ35" s="1"/>
    </row>
    <row r="36" spans="10:84" x14ac:dyDescent="0.35">
      <c r="S36" s="1"/>
      <c r="AG36" s="41"/>
      <c r="AR36" s="42"/>
      <c r="AW36" s="42"/>
      <c r="BB36" s="42"/>
      <c r="BM36" s="43"/>
      <c r="BZ36" s="1"/>
    </row>
    <row r="37" spans="10:84" ht="15" thickBot="1" x14ac:dyDescent="0.4">
      <c r="S37" s="1"/>
      <c r="AG37" s="41"/>
      <c r="AR37" s="42"/>
      <c r="AW37" s="42"/>
      <c r="BB37" s="42"/>
      <c r="BM37" s="43"/>
      <c r="BZ37" s="1"/>
    </row>
    <row r="38" spans="10:84" ht="15" thickBot="1" x14ac:dyDescent="0.4">
      <c r="S38" s="1"/>
      <c r="AD38" s="31" t="s">
        <v>33</v>
      </c>
      <c r="AE38" s="32"/>
      <c r="AF38" s="32"/>
      <c r="AG38" s="32"/>
      <c r="AH38" s="32"/>
      <c r="AI38" s="32"/>
      <c r="AJ38" s="33"/>
      <c r="AR38" s="42"/>
      <c r="AT38" s="31" t="s">
        <v>34</v>
      </c>
      <c r="AU38" s="32"/>
      <c r="AV38" s="32"/>
      <c r="AW38" s="32"/>
      <c r="AX38" s="32"/>
      <c r="AY38" s="32"/>
      <c r="AZ38" s="33"/>
      <c r="BB38" s="42"/>
      <c r="BJ38" s="31" t="s">
        <v>35</v>
      </c>
      <c r="BK38" s="32"/>
      <c r="BL38" s="32"/>
      <c r="BM38" s="32"/>
      <c r="BN38" s="32"/>
      <c r="BO38" s="32"/>
      <c r="BP38" s="33"/>
      <c r="BZ38" s="1"/>
    </row>
    <row r="39" spans="10:84" ht="15" thickBot="1" x14ac:dyDescent="0.4">
      <c r="M39" s="2" t="s">
        <v>21</v>
      </c>
      <c r="N39" s="3">
        <v>1000</v>
      </c>
      <c r="O39" s="4" t="s">
        <v>28</v>
      </c>
      <c r="S39" s="1"/>
      <c r="X39" s="2" t="s">
        <v>21</v>
      </c>
      <c r="Y39" s="3">
        <f>$B$3*N39</f>
        <v>218.46289681941829</v>
      </c>
      <c r="Z39" s="4" t="s">
        <v>28</v>
      </c>
      <c r="AD39" s="14" t="s">
        <v>11</v>
      </c>
      <c r="AE39" s="15" t="s">
        <v>12</v>
      </c>
      <c r="AF39" s="15" t="s">
        <v>13</v>
      </c>
      <c r="AG39" s="15"/>
      <c r="AH39" s="15"/>
      <c r="AI39" s="15"/>
      <c r="AJ39" s="16"/>
      <c r="AR39" s="42"/>
      <c r="AT39" s="14" t="s">
        <v>11</v>
      </c>
      <c r="AU39" s="15" t="s">
        <v>48</v>
      </c>
      <c r="AV39" s="15" t="s">
        <v>13</v>
      </c>
      <c r="AW39" s="15"/>
      <c r="AX39" s="15"/>
      <c r="AY39" s="15"/>
      <c r="AZ39" s="16"/>
      <c r="BB39" s="42"/>
      <c r="BJ39" s="14" t="s">
        <v>11</v>
      </c>
      <c r="BK39" s="15" t="s">
        <v>12</v>
      </c>
      <c r="BL39" s="15" t="s">
        <v>13</v>
      </c>
      <c r="BM39" s="15"/>
      <c r="BN39" s="15"/>
      <c r="BO39" s="15"/>
      <c r="BP39" s="16"/>
      <c r="BZ39" s="1"/>
      <c r="CD39" s="34" t="s">
        <v>21</v>
      </c>
      <c r="CE39" s="35">
        <f>N39</f>
        <v>1000</v>
      </c>
      <c r="CF39" s="36" t="s">
        <v>28</v>
      </c>
    </row>
    <row r="40" spans="10:84" ht="15" thickBot="1" x14ac:dyDescent="0.4">
      <c r="J40" s="1"/>
      <c r="K40" s="1"/>
      <c r="L40" s="1"/>
      <c r="M40" s="5" t="s">
        <v>22</v>
      </c>
      <c r="N40" s="6">
        <v>25</v>
      </c>
      <c r="O40" s="7" t="s">
        <v>23</v>
      </c>
      <c r="P40" s="1"/>
      <c r="Q40" s="1"/>
      <c r="R40" s="1"/>
      <c r="S40" s="1"/>
      <c r="T40" s="1"/>
      <c r="U40" s="1"/>
      <c r="V40" s="1"/>
      <c r="W40" s="1"/>
      <c r="X40" s="5" t="s">
        <v>22</v>
      </c>
      <c r="Y40" s="6">
        <f>$N$40</f>
        <v>25</v>
      </c>
      <c r="Z40" s="7" t="s">
        <v>23</v>
      </c>
      <c r="AA40" s="1"/>
      <c r="AB40" s="1"/>
      <c r="AC40" s="1"/>
      <c r="AD40" s="25" t="s">
        <v>14</v>
      </c>
      <c r="AE40" s="21">
        <f>AU12</f>
        <v>100</v>
      </c>
      <c r="AF40" s="22" t="s">
        <v>28</v>
      </c>
      <c r="AG40" s="20" t="s">
        <v>17</v>
      </c>
      <c r="AH40" s="22">
        <f>$Y$39*$B$7*0.001</f>
        <v>9.8308303568738237E-2</v>
      </c>
      <c r="AI40" s="21" t="s">
        <v>23</v>
      </c>
      <c r="AJ40" s="26">
        <f>AH42/AH43</f>
        <v>0.58998068214498045</v>
      </c>
      <c r="AK40" s="1"/>
      <c r="AL40" s="1"/>
      <c r="AM40" s="1"/>
      <c r="AN40" s="8" t="s">
        <v>22</v>
      </c>
      <c r="AO40" s="9">
        <f>Y40+AE42/AH40</f>
        <v>42.121020903069564</v>
      </c>
      <c r="AP40" s="10" t="s">
        <v>23</v>
      </c>
      <c r="AQ40" s="1"/>
      <c r="AR40" s="1"/>
      <c r="AS40" s="1"/>
      <c r="AT40" s="25" t="s">
        <v>14</v>
      </c>
      <c r="AU40" s="21">
        <f>BK67</f>
        <v>150</v>
      </c>
      <c r="AV40" s="22" t="s">
        <v>28</v>
      </c>
      <c r="AW40" s="20" t="s">
        <v>17</v>
      </c>
      <c r="AX40" s="22">
        <f>$Y$39*$B$7*0.001</f>
        <v>9.8308303568738237E-2</v>
      </c>
      <c r="AY40" s="21" t="s">
        <v>23</v>
      </c>
      <c r="AZ40" s="26">
        <f>AX42/AX43</f>
        <v>0.88497102321747079</v>
      </c>
      <c r="BA40" s="1"/>
      <c r="BB40" s="1"/>
      <c r="BC40" s="1"/>
      <c r="BD40" s="8" t="s">
        <v>22</v>
      </c>
      <c r="BE40" s="9">
        <f>AO40+AU42/AX40</f>
        <v>42.121020903069564</v>
      </c>
      <c r="BF40" s="10" t="s">
        <v>23</v>
      </c>
      <c r="BG40" s="1"/>
      <c r="BH40" s="1"/>
      <c r="BI40" s="1"/>
      <c r="BJ40" s="25" t="s">
        <v>14</v>
      </c>
      <c r="BK40" s="21">
        <v>100</v>
      </c>
      <c r="BL40" s="22" t="s">
        <v>28</v>
      </c>
      <c r="BM40" s="20" t="s">
        <v>17</v>
      </c>
      <c r="BN40" s="22">
        <f>$Y$39*$B$7*0.001</f>
        <v>9.8308303568738237E-2</v>
      </c>
      <c r="BO40" s="21" t="s">
        <v>23</v>
      </c>
      <c r="BP40" s="26">
        <f>BN42/BN43</f>
        <v>0.60015276287161812</v>
      </c>
      <c r="BQ40" s="1"/>
      <c r="BR40" s="1"/>
      <c r="BS40" s="1"/>
      <c r="BT40" s="8" t="s">
        <v>22</v>
      </c>
      <c r="BU40" s="9">
        <f>BE40+BK42/BN40</f>
        <v>87.793066858287574</v>
      </c>
      <c r="BV40" s="10" t="s">
        <v>23</v>
      </c>
      <c r="BW40" s="1"/>
      <c r="BX40" s="1"/>
      <c r="BY40" s="1"/>
      <c r="BZ40" s="1"/>
      <c r="CA40" s="1"/>
      <c r="CB40" s="1"/>
      <c r="CC40" s="1"/>
      <c r="CD40" s="37" t="s">
        <v>22</v>
      </c>
      <c r="CE40" s="38">
        <f>(BN12*BU12+BN40*BU40+BN67*BU67)/(BN12+BN40+BN67)</f>
        <v>89.590438241266696</v>
      </c>
      <c r="CF40" s="39" t="s">
        <v>23</v>
      </c>
    </row>
    <row r="41" spans="10:84" x14ac:dyDescent="0.35">
      <c r="S41" s="1"/>
      <c r="AD41" s="14" t="s">
        <v>15</v>
      </c>
      <c r="AE41" s="15">
        <f>IF(AE39="E",0.05,0)</f>
        <v>0.05</v>
      </c>
      <c r="AF41" s="24" t="s">
        <v>29</v>
      </c>
      <c r="AG41" s="23" t="s">
        <v>18</v>
      </c>
      <c r="AH41" s="24">
        <f>AE40*$B$10*0.001</f>
        <v>5.7999999999999996E-2</v>
      </c>
      <c r="AI41" s="15" t="s">
        <v>26</v>
      </c>
      <c r="AJ41" s="16">
        <f>AE41/AH42</f>
        <v>0.86206896551724144</v>
      </c>
      <c r="AR41" s="42"/>
      <c r="AT41" s="14" t="s">
        <v>15</v>
      </c>
      <c r="AU41" s="15">
        <f>IF(AU39="E",0.05,0)</f>
        <v>0</v>
      </c>
      <c r="AV41" s="24" t="s">
        <v>29</v>
      </c>
      <c r="AW41" s="23" t="s">
        <v>18</v>
      </c>
      <c r="AX41" s="24">
        <f>AU40*$B$10*0.001</f>
        <v>8.7000000000000008E-2</v>
      </c>
      <c r="AY41" s="15" t="s">
        <v>26</v>
      </c>
      <c r="AZ41" s="16">
        <f>AU41/AX42</f>
        <v>0</v>
      </c>
      <c r="BB41" s="42"/>
      <c r="BJ41" s="14" t="s">
        <v>15</v>
      </c>
      <c r="BK41" s="15">
        <f>IF(BK39="E",0.05,0)</f>
        <v>0.05</v>
      </c>
      <c r="BL41" s="24" t="s">
        <v>29</v>
      </c>
      <c r="BM41" s="23" t="s">
        <v>18</v>
      </c>
      <c r="BN41" s="24">
        <f>BK40*$B$9*0.001</f>
        <v>5.9000000000000004E-2</v>
      </c>
      <c r="BO41" s="15" t="s">
        <v>26</v>
      </c>
      <c r="BP41" s="16">
        <f>BK41/BN42</f>
        <v>0.84745762711864403</v>
      </c>
      <c r="BZ41" s="1"/>
    </row>
    <row r="42" spans="10:84" x14ac:dyDescent="0.35">
      <c r="S42" s="1"/>
      <c r="AD42" s="14" t="s">
        <v>16</v>
      </c>
      <c r="AE42" s="15">
        <f>AH42*AJ42*(AH35-Y40)</f>
        <v>1.6831385203456759</v>
      </c>
      <c r="AF42" s="24" t="s">
        <v>30</v>
      </c>
      <c r="AG42" s="23" t="s">
        <v>19</v>
      </c>
      <c r="AH42" s="24">
        <f>MIN(AH40,AH41)</f>
        <v>5.7999999999999996E-2</v>
      </c>
      <c r="AI42" s="15" t="s">
        <v>27</v>
      </c>
      <c r="AJ42" s="16">
        <f>IFERROR(2/(1+AJ40+SQRT(1+AJ40^2)*((1+EXP(-AJ41*SQRT(1+AJ40^2)))/(1-EXP(-AJ41*SQRT(1+AJ40^2))))),0)</f>
        <v>0.48774407679769038</v>
      </c>
      <c r="AR42" s="42"/>
      <c r="AT42" s="14" t="s">
        <v>16</v>
      </c>
      <c r="AU42" s="15">
        <f>AX42*AZ42*(AX35-AO40)</f>
        <v>0</v>
      </c>
      <c r="AV42" s="24" t="s">
        <v>30</v>
      </c>
      <c r="AW42" s="23" t="s">
        <v>19</v>
      </c>
      <c r="AX42" s="24">
        <f>MIN(AX40,AX41)</f>
        <v>8.7000000000000008E-2</v>
      </c>
      <c r="AY42" s="15" t="s">
        <v>27</v>
      </c>
      <c r="AZ42" s="16">
        <f>IFERROR(2/(1+AZ40+SQRT(1+AZ40^2)*((1+EXP(-AZ41*SQRT(1+AZ40^2)))/(1-EXP(-AZ41*SQRT(1+AZ40^2))))),0)</f>
        <v>0</v>
      </c>
      <c r="BB42" s="42"/>
      <c r="BJ42" s="14" t="s">
        <v>16</v>
      </c>
      <c r="BK42" s="15">
        <f>BN42*BP42*(BN35-BE40)</f>
        <v>4.4899413583709364</v>
      </c>
      <c r="BL42" s="24" t="s">
        <v>30</v>
      </c>
      <c r="BM42" s="23" t="s">
        <v>19</v>
      </c>
      <c r="BN42" s="24">
        <f>MIN(BN40,BN41)</f>
        <v>5.9000000000000004E-2</v>
      </c>
      <c r="BO42" s="15" t="s">
        <v>27</v>
      </c>
      <c r="BP42" s="16">
        <f>IFERROR(2/(1+BP40+SQRT(1+BP40^2)*((1+EXP(-BP41*SQRT(1+BP40^2)))/(1-EXP(-BP41*SQRT(1+BP40^2))))),0)</f>
        <v>0.48201921132651587</v>
      </c>
      <c r="BZ42" s="1"/>
    </row>
    <row r="43" spans="10:84" ht="15" thickBot="1" x14ac:dyDescent="0.4">
      <c r="S43" s="1"/>
      <c r="AD43" s="17"/>
      <c r="AE43" s="18"/>
      <c r="AF43" s="27"/>
      <c r="AG43" s="28" t="s">
        <v>20</v>
      </c>
      <c r="AH43" s="27">
        <f>MAX(AH40,AH41)</f>
        <v>9.8308303568738237E-2</v>
      </c>
      <c r="AI43" s="18"/>
      <c r="AJ43" s="19"/>
      <c r="AR43" s="42"/>
      <c r="AT43" s="17"/>
      <c r="AU43" s="18"/>
      <c r="AV43" s="27"/>
      <c r="AW43" s="28" t="s">
        <v>20</v>
      </c>
      <c r="AX43" s="27">
        <f>MAX(AX40,AX41)</f>
        <v>9.8308303568738237E-2</v>
      </c>
      <c r="AY43" s="18"/>
      <c r="AZ43" s="19"/>
      <c r="BB43" s="42"/>
      <c r="BJ43" s="17"/>
      <c r="BK43" s="18"/>
      <c r="BL43" s="27"/>
      <c r="BM43" s="28" t="s">
        <v>20</v>
      </c>
      <c r="BN43" s="27">
        <f>MAX(BN40,BN41)</f>
        <v>9.8308303568738237E-2</v>
      </c>
      <c r="BO43" s="18"/>
      <c r="BP43" s="19"/>
      <c r="BZ43" s="1"/>
    </row>
    <row r="44" spans="10:84" x14ac:dyDescent="0.35">
      <c r="S44" s="1"/>
      <c r="AG44" s="41"/>
      <c r="AR44" s="42"/>
      <c r="AW44" s="42"/>
      <c r="BB44" s="42"/>
      <c r="BM44" s="43"/>
      <c r="BZ44" s="1"/>
    </row>
    <row r="45" spans="10:84" ht="15" thickBot="1" x14ac:dyDescent="0.4">
      <c r="S45" s="1"/>
      <c r="AG45" s="41"/>
      <c r="AR45" s="42"/>
      <c r="AW45" s="42"/>
      <c r="BB45" s="42"/>
      <c r="BM45" s="43"/>
      <c r="BZ45" s="1"/>
    </row>
    <row r="46" spans="10:84" ht="15" thickBot="1" x14ac:dyDescent="0.4">
      <c r="S46" s="1"/>
      <c r="AE46" s="11" t="s">
        <v>25</v>
      </c>
      <c r="AF46" s="12"/>
      <c r="AG46" s="12"/>
      <c r="AH46" s="12">
        <f>AH35-AE42/AH41</f>
        <v>55.478027084721475</v>
      </c>
      <c r="AI46" s="13" t="s">
        <v>23</v>
      </c>
      <c r="AR46" s="42"/>
      <c r="AU46" s="11" t="s">
        <v>25</v>
      </c>
      <c r="AV46" s="12"/>
      <c r="AW46" s="12"/>
      <c r="AX46" s="12">
        <f>AX35-AU42/AX41</f>
        <v>126.5170080156842</v>
      </c>
      <c r="AY46" s="13" t="s">
        <v>23</v>
      </c>
      <c r="BB46" s="42"/>
      <c r="BK46" s="11" t="s">
        <v>25</v>
      </c>
      <c r="BL46" s="12"/>
      <c r="BM46" s="12"/>
      <c r="BN46" s="12">
        <f>BN35-BK42/BN41</f>
        <v>123.89929901066211</v>
      </c>
      <c r="BO46" s="13" t="s">
        <v>23</v>
      </c>
      <c r="BZ46" s="1"/>
    </row>
    <row r="47" spans="10:84" x14ac:dyDescent="0.35">
      <c r="S47" s="1"/>
      <c r="AG47" s="41"/>
      <c r="AR47" s="42"/>
      <c r="AW47" s="42"/>
      <c r="BB47" s="42"/>
      <c r="BM47" s="43"/>
      <c r="BZ47" s="1"/>
    </row>
    <row r="48" spans="10:84" x14ac:dyDescent="0.35">
      <c r="S48" s="1"/>
      <c r="AG48" s="41"/>
      <c r="AR48" s="42"/>
      <c r="AW48" s="42"/>
      <c r="BB48" s="42"/>
      <c r="BM48" s="43"/>
      <c r="BZ48" s="1"/>
    </row>
    <row r="49" spans="19:78" x14ac:dyDescent="0.35">
      <c r="S49" s="1"/>
      <c r="AG49" s="41"/>
      <c r="AR49" s="42"/>
      <c r="AW49" s="42"/>
      <c r="BB49" s="42"/>
      <c r="BM49" s="43"/>
      <c r="BZ49" s="1"/>
    </row>
    <row r="50" spans="19:78" x14ac:dyDescent="0.35">
      <c r="S50" s="1"/>
      <c r="AG50" s="41"/>
      <c r="AR50" s="42"/>
      <c r="AS50" s="42"/>
      <c r="AT50" s="42"/>
      <c r="AU50" s="42"/>
      <c r="AV50" s="42"/>
      <c r="AW50" s="42"/>
      <c r="AX50" s="44"/>
      <c r="AY50" s="44"/>
      <c r="AZ50" s="44"/>
      <c r="BA50" s="44"/>
      <c r="BB50" s="42"/>
      <c r="BC50" s="42"/>
      <c r="BD50" s="42"/>
      <c r="BE50" s="42"/>
      <c r="BF50" s="42"/>
      <c r="BG50" s="42"/>
      <c r="BH50" s="42"/>
      <c r="BM50" s="43"/>
      <c r="BZ50" s="1"/>
    </row>
    <row r="51" spans="19:78" x14ac:dyDescent="0.35">
      <c r="S51" s="1"/>
      <c r="BH51" s="42"/>
      <c r="BM51" s="43"/>
      <c r="BZ51" s="1"/>
    </row>
    <row r="52" spans="19:78" x14ac:dyDescent="0.35">
      <c r="S52" s="1"/>
      <c r="BH52" s="42"/>
      <c r="BM52" s="43"/>
      <c r="BZ52" s="1"/>
    </row>
    <row r="53" spans="19:78" x14ac:dyDescent="0.35">
      <c r="S53" s="1"/>
      <c r="BH53" s="42"/>
      <c r="BM53" s="43"/>
      <c r="BZ53" s="1"/>
    </row>
    <row r="54" spans="19:78" x14ac:dyDescent="0.35">
      <c r="S54" s="1"/>
      <c r="BH54" s="42"/>
      <c r="BM54" s="43"/>
      <c r="BZ54" s="1"/>
    </row>
    <row r="55" spans="19:78" x14ac:dyDescent="0.35">
      <c r="S55" s="1"/>
      <c r="BH55" s="42"/>
      <c r="BM55" s="43"/>
      <c r="BZ55" s="1"/>
    </row>
    <row r="56" spans="19:78" x14ac:dyDescent="0.35">
      <c r="S56" s="1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2"/>
      <c r="BI56" s="43"/>
      <c r="BJ56" s="43"/>
      <c r="BK56" s="43"/>
      <c r="BL56" s="43"/>
      <c r="BM56" s="43"/>
      <c r="BZ56" s="1"/>
    </row>
    <row r="57" spans="19:78" x14ac:dyDescent="0.35">
      <c r="S57" s="1"/>
      <c r="AW57" s="43"/>
      <c r="BH57" s="42"/>
      <c r="BZ57" s="1"/>
    </row>
    <row r="58" spans="19:78" x14ac:dyDescent="0.35">
      <c r="S58" s="1"/>
      <c r="AW58" s="43"/>
      <c r="BH58" s="42"/>
      <c r="BZ58" s="1"/>
    </row>
    <row r="59" spans="19:78" x14ac:dyDescent="0.35">
      <c r="S59" s="1"/>
      <c r="AG59" s="43"/>
      <c r="AH59" s="43"/>
      <c r="AI59" s="43"/>
      <c r="AJ59" s="43"/>
      <c r="AK59" s="43"/>
      <c r="AL59" s="43"/>
      <c r="AW59" s="43"/>
      <c r="BH59" s="42"/>
      <c r="BL59" s="40" t="s">
        <v>9</v>
      </c>
      <c r="BM59" s="40"/>
      <c r="BN59" s="40"/>
      <c r="BZ59" s="1"/>
    </row>
    <row r="60" spans="19:78" x14ac:dyDescent="0.35">
      <c r="S60" s="1"/>
      <c r="AG60" s="43"/>
      <c r="AL60" s="43"/>
      <c r="AW60" s="43"/>
      <c r="BH60" s="42"/>
      <c r="BM60" s="42"/>
      <c r="BZ60" s="1"/>
    </row>
    <row r="61" spans="19:78" ht="15" thickBot="1" x14ac:dyDescent="0.4">
      <c r="S61" s="1"/>
      <c r="AG61" s="43"/>
      <c r="AL61" s="43"/>
      <c r="AW61" s="43"/>
      <c r="BH61" s="42"/>
      <c r="BM61" s="42"/>
      <c r="BZ61" s="1"/>
    </row>
    <row r="62" spans="19:78" ht="15" thickBot="1" x14ac:dyDescent="0.4">
      <c r="S62" s="1"/>
      <c r="AE62" s="11" t="s">
        <v>24</v>
      </c>
      <c r="AF62" s="12"/>
      <c r="AG62" s="12"/>
      <c r="AH62" s="12">
        <f>V87</f>
        <v>109.28387924332502</v>
      </c>
      <c r="AI62" s="13" t="s">
        <v>23</v>
      </c>
      <c r="AL62" s="43"/>
      <c r="AU62" s="11" t="s">
        <v>24</v>
      </c>
      <c r="AV62" s="12"/>
      <c r="AW62" s="12"/>
      <c r="AX62" s="12">
        <f>V88</f>
        <v>123.89936084301056</v>
      </c>
      <c r="AY62" s="13" t="s">
        <v>23</v>
      </c>
      <c r="BH62" s="42"/>
      <c r="BK62" s="11" t="s">
        <v>24</v>
      </c>
      <c r="BL62" s="12"/>
      <c r="BM62" s="12"/>
      <c r="BN62" s="12">
        <v>250</v>
      </c>
      <c r="BO62" s="13" t="s">
        <v>23</v>
      </c>
      <c r="BZ62" s="1"/>
    </row>
    <row r="63" spans="19:78" x14ac:dyDescent="0.35">
      <c r="S63" s="1"/>
      <c r="AG63" s="43"/>
      <c r="AL63" s="43"/>
      <c r="AW63" s="43"/>
      <c r="BH63" s="42"/>
      <c r="BM63" s="42"/>
      <c r="BZ63" s="1"/>
    </row>
    <row r="64" spans="19:78" ht="15" thickBot="1" x14ac:dyDescent="0.4">
      <c r="S64" s="1"/>
      <c r="AG64" s="43"/>
      <c r="AL64" s="43"/>
      <c r="AW64" s="43"/>
      <c r="BH64" s="42"/>
      <c r="BM64" s="42"/>
      <c r="BZ64" s="1"/>
    </row>
    <row r="65" spans="19:78" ht="15" thickBot="1" x14ac:dyDescent="0.4">
      <c r="S65" s="1"/>
      <c r="AD65" s="31" t="s">
        <v>36</v>
      </c>
      <c r="AE65" s="32"/>
      <c r="AF65" s="32"/>
      <c r="AG65" s="32"/>
      <c r="AH65" s="32"/>
      <c r="AI65" s="32"/>
      <c r="AJ65" s="33"/>
      <c r="AL65" s="43"/>
      <c r="AT65" s="31" t="s">
        <v>37</v>
      </c>
      <c r="AU65" s="32"/>
      <c r="AV65" s="32"/>
      <c r="AW65" s="32"/>
      <c r="AX65" s="32"/>
      <c r="AY65" s="32"/>
      <c r="AZ65" s="33"/>
      <c r="BH65" s="42"/>
      <c r="BJ65" s="31" t="s">
        <v>38</v>
      </c>
      <c r="BK65" s="32"/>
      <c r="BL65" s="32"/>
      <c r="BM65" s="32"/>
      <c r="BN65" s="32"/>
      <c r="BO65" s="32"/>
      <c r="BP65" s="33"/>
      <c r="BZ65" s="1"/>
    </row>
    <row r="66" spans="19:78" ht="15" thickBot="1" x14ac:dyDescent="0.4">
      <c r="S66" s="1"/>
      <c r="X66" s="2" t="s">
        <v>21</v>
      </c>
      <c r="Y66" s="3">
        <f>$B$4*N39</f>
        <v>359.49497863020719</v>
      </c>
      <c r="Z66" s="4" t="s">
        <v>28</v>
      </c>
      <c r="AD66" s="14" t="s">
        <v>11</v>
      </c>
      <c r="AE66" s="15" t="s">
        <v>12</v>
      </c>
      <c r="AF66" s="15" t="s">
        <v>13</v>
      </c>
      <c r="AG66" s="15"/>
      <c r="AH66" s="15"/>
      <c r="AI66" s="15"/>
      <c r="AJ66" s="16"/>
      <c r="AL66" s="43"/>
      <c r="AT66" s="14" t="s">
        <v>11</v>
      </c>
      <c r="AU66" s="15" t="s">
        <v>12</v>
      </c>
      <c r="AV66" s="15" t="s">
        <v>13</v>
      </c>
      <c r="AW66" s="15"/>
      <c r="AX66" s="15"/>
      <c r="AY66" s="15"/>
      <c r="AZ66" s="16"/>
      <c r="BH66" s="42"/>
      <c r="BJ66" s="14" t="s">
        <v>11</v>
      </c>
      <c r="BK66" s="15" t="s">
        <v>12</v>
      </c>
      <c r="BL66" s="15" t="s">
        <v>13</v>
      </c>
      <c r="BM66" s="15"/>
      <c r="BN66" s="15"/>
      <c r="BO66" s="15"/>
      <c r="BP66" s="16"/>
      <c r="BZ66" s="1"/>
    </row>
    <row r="67" spans="19:78" ht="15" thickBot="1" x14ac:dyDescent="0.4">
      <c r="S67" s="1"/>
      <c r="T67" s="1"/>
      <c r="U67" s="1"/>
      <c r="V67" s="1"/>
      <c r="W67" s="1"/>
      <c r="X67" s="5" t="s">
        <v>22</v>
      </c>
      <c r="Y67" s="6">
        <f>$N$40</f>
        <v>25</v>
      </c>
      <c r="Z67" s="7" t="s">
        <v>23</v>
      </c>
      <c r="AA67" s="1"/>
      <c r="AB67" s="1"/>
      <c r="AC67" s="1"/>
      <c r="AD67" s="25" t="s">
        <v>14</v>
      </c>
      <c r="AE67" s="21">
        <f>AU67</f>
        <v>100</v>
      </c>
      <c r="AF67" s="22" t="s">
        <v>28</v>
      </c>
      <c r="AG67" s="20" t="s">
        <v>17</v>
      </c>
      <c r="AH67" s="22">
        <f>$Y$66*$B$7*0.001</f>
        <v>0.16177274038359324</v>
      </c>
      <c r="AI67" s="21" t="s">
        <v>23</v>
      </c>
      <c r="AJ67" s="26">
        <f>AH69/AH70</f>
        <v>0.36470915841630697</v>
      </c>
      <c r="AK67" s="1"/>
      <c r="AL67" s="1"/>
      <c r="AM67" s="1"/>
      <c r="AN67" s="8" t="s">
        <v>22</v>
      </c>
      <c r="AO67" s="9">
        <f>Y67+AE69/AH67</f>
        <v>27.461027142509067</v>
      </c>
      <c r="AP67" s="10" t="s">
        <v>23</v>
      </c>
      <c r="AQ67" s="1"/>
      <c r="AR67" s="1"/>
      <c r="AS67" s="1"/>
      <c r="AT67" s="25" t="s">
        <v>14</v>
      </c>
      <c r="AU67" s="21">
        <f>BK40</f>
        <v>100</v>
      </c>
      <c r="AV67" s="22" t="s">
        <v>28</v>
      </c>
      <c r="AW67" s="20" t="s">
        <v>17</v>
      </c>
      <c r="AX67" s="22">
        <f>$Y$66*$B$7*0.001</f>
        <v>0.16177274038359324</v>
      </c>
      <c r="AY67" s="21" t="s">
        <v>23</v>
      </c>
      <c r="AZ67" s="26">
        <f>AX69/AX70</f>
        <v>0.36470915841630697</v>
      </c>
      <c r="BA67" s="1"/>
      <c r="BB67" s="1"/>
      <c r="BC67" s="1"/>
      <c r="BD67" s="8" t="s">
        <v>22</v>
      </c>
      <c r="BE67" s="9">
        <f>AO67+AU69/AX67</f>
        <v>32.791442978815084</v>
      </c>
      <c r="BF67" s="10" t="s">
        <v>23</v>
      </c>
      <c r="BG67" s="1"/>
      <c r="BH67" s="1"/>
      <c r="BI67" s="1"/>
      <c r="BJ67" s="25" t="s">
        <v>14</v>
      </c>
      <c r="BK67" s="21">
        <v>150</v>
      </c>
      <c r="BL67" s="22" t="s">
        <v>28</v>
      </c>
      <c r="BM67" s="20" t="s">
        <v>17</v>
      </c>
      <c r="BN67" s="22">
        <f>$Y$66*$B$7*0.001</f>
        <v>0.16177274038359324</v>
      </c>
      <c r="BO67" s="21" t="s">
        <v>23</v>
      </c>
      <c r="BP67" s="26">
        <f>BN69/BN70</f>
        <v>0.53779147088506285</v>
      </c>
      <c r="BQ67" s="1"/>
      <c r="BR67" s="1"/>
      <c r="BS67" s="1"/>
      <c r="BT67" s="8" t="s">
        <v>22</v>
      </c>
      <c r="BU67" s="9">
        <f>BE67+BK69/BN67</f>
        <v>99.199581512306111</v>
      </c>
      <c r="BV67" s="10" t="s">
        <v>23</v>
      </c>
      <c r="BW67" s="1"/>
      <c r="BX67" s="1"/>
      <c r="BY67" s="1"/>
      <c r="BZ67" s="1"/>
    </row>
    <row r="68" spans="19:78" x14ac:dyDescent="0.35">
      <c r="AD68" s="14" t="s">
        <v>15</v>
      </c>
      <c r="AE68" s="15">
        <f>IF(AE66="E",0.005,0)</f>
        <v>5.0000000000000001E-3</v>
      </c>
      <c r="AF68" s="24" t="s">
        <v>29</v>
      </c>
      <c r="AG68" s="23" t="s">
        <v>18</v>
      </c>
      <c r="AH68" s="24">
        <f>AE67*$B$9*0.001</f>
        <v>5.9000000000000004E-2</v>
      </c>
      <c r="AI68" s="15" t="s">
        <v>26</v>
      </c>
      <c r="AJ68" s="16">
        <f>AE68/AH69</f>
        <v>8.4745762711864403E-2</v>
      </c>
      <c r="AL68" s="43"/>
      <c r="AT68" s="14" t="s">
        <v>15</v>
      </c>
      <c r="AU68" s="15">
        <f>IF(AU66="E",0.01,0)</f>
        <v>0.01</v>
      </c>
      <c r="AV68" s="24" t="s">
        <v>29</v>
      </c>
      <c r="AW68" s="23" t="s">
        <v>18</v>
      </c>
      <c r="AX68" s="24">
        <f>AU67*$B$9*0.001</f>
        <v>5.9000000000000004E-2</v>
      </c>
      <c r="AY68" s="15" t="s">
        <v>26</v>
      </c>
      <c r="AZ68" s="16">
        <f>AU68/AX69</f>
        <v>0.16949152542372881</v>
      </c>
      <c r="BH68" s="42"/>
      <c r="BJ68" s="14" t="s">
        <v>15</v>
      </c>
      <c r="BK68" s="15">
        <f>IF(BK66="E",0.1,0)</f>
        <v>0.1</v>
      </c>
      <c r="BL68" s="24" t="s">
        <v>29</v>
      </c>
      <c r="BM68" s="23" t="s">
        <v>18</v>
      </c>
      <c r="BN68" s="24">
        <f>BK67*$B$10*0.001</f>
        <v>8.7000000000000008E-2</v>
      </c>
      <c r="BO68" s="15" t="s">
        <v>26</v>
      </c>
      <c r="BP68" s="16">
        <f>BK68/BN69</f>
        <v>1.1494252873563218</v>
      </c>
    </row>
    <row r="69" spans="19:78" x14ac:dyDescent="0.35">
      <c r="AD69" s="14" t="s">
        <v>16</v>
      </c>
      <c r="AE69" s="15">
        <f>AH69*AJ69*(AH62-Y67)</f>
        <v>0.39812710500209569</v>
      </c>
      <c r="AF69" s="24" t="s">
        <v>30</v>
      </c>
      <c r="AG69" s="23" t="s">
        <v>19</v>
      </c>
      <c r="AH69" s="24">
        <f>MIN(AH67,AH68)</f>
        <v>5.9000000000000004E-2</v>
      </c>
      <c r="AI69" s="15" t="s">
        <v>27</v>
      </c>
      <c r="AJ69" s="16">
        <f>IFERROR(2/(1+AJ67+SQRT(1+AJ67^2)*((1+EXP(-AJ68*SQRT(1+AJ67^2)))/(1-EXP(-AJ68*SQRT(1+AJ67^2))))),0)</f>
        <v>8.0061775686104716E-2</v>
      </c>
      <c r="AL69" s="43"/>
      <c r="AT69" s="14" t="s">
        <v>16</v>
      </c>
      <c r="AU69" s="15">
        <f>AX69*AZ69*(AX62-AO67)</f>
        <v>0.86231597722332665</v>
      </c>
      <c r="AV69" s="24" t="s">
        <v>30</v>
      </c>
      <c r="AW69" s="23" t="s">
        <v>19</v>
      </c>
      <c r="AX69" s="24">
        <f>MIN(AX67,AX68)</f>
        <v>5.9000000000000004E-2</v>
      </c>
      <c r="AY69" s="15" t="s">
        <v>27</v>
      </c>
      <c r="AZ69" s="16">
        <f>IFERROR(2/(1+AZ67+SQRT(1+AZ67^2)*((1+EXP(-AZ68*SQRT(1+AZ67^2)))/(1-EXP(-AZ68*SQRT(1+AZ67^2))))),0)</f>
        <v>0.1515530648121049</v>
      </c>
      <c r="BH69" s="42"/>
      <c r="BJ69" s="14" t="s">
        <v>16</v>
      </c>
      <c r="BK69" s="15">
        <f>BN69*BP69*(BN62-BE67)</f>
        <v>10.743026554336138</v>
      </c>
      <c r="BL69" s="24" t="s">
        <v>30</v>
      </c>
      <c r="BM69" s="23" t="s">
        <v>19</v>
      </c>
      <c r="BN69" s="24">
        <f>MIN(BN67,BN68)</f>
        <v>8.7000000000000008E-2</v>
      </c>
      <c r="BO69" s="15" t="s">
        <v>27</v>
      </c>
      <c r="BP69" s="16">
        <f>IFERROR(2/(1+BP67+SQRT(1+BP67^2)*((1+EXP(-BP68*SQRT(1+BP67^2)))/(1-EXP(-BP68*SQRT(1+BP67^2))))),0)</f>
        <v>0.56849999620825475</v>
      </c>
    </row>
    <row r="70" spans="19:78" ht="15" thickBot="1" x14ac:dyDescent="0.4">
      <c r="AD70" s="17"/>
      <c r="AE70" s="18"/>
      <c r="AF70" s="27"/>
      <c r="AG70" s="28" t="s">
        <v>20</v>
      </c>
      <c r="AH70" s="27">
        <f>MAX(AH67,AH68)</f>
        <v>0.16177274038359324</v>
      </c>
      <c r="AI70" s="18"/>
      <c r="AJ70" s="19"/>
      <c r="AL70" s="43"/>
      <c r="AT70" s="17"/>
      <c r="AU70" s="18"/>
      <c r="AV70" s="27"/>
      <c r="AW70" s="28" t="s">
        <v>20</v>
      </c>
      <c r="AX70" s="27">
        <f>MAX(AX67,AX68)</f>
        <v>0.16177274038359324</v>
      </c>
      <c r="AY70" s="18"/>
      <c r="AZ70" s="19"/>
      <c r="BH70" s="42"/>
      <c r="BJ70" s="17"/>
      <c r="BK70" s="18"/>
      <c r="BL70" s="27"/>
      <c r="BM70" s="28" t="s">
        <v>20</v>
      </c>
      <c r="BN70" s="27">
        <f>MAX(BN67,BN68)</f>
        <v>0.16177274038359324</v>
      </c>
      <c r="BO70" s="18"/>
      <c r="BP70" s="19"/>
    </row>
    <row r="71" spans="19:78" x14ac:dyDescent="0.35">
      <c r="AG71" s="43"/>
      <c r="AL71" s="43"/>
      <c r="AW71" s="43"/>
      <c r="BH71" s="42"/>
      <c r="BM71" s="42"/>
    </row>
    <row r="72" spans="19:78" ht="15" thickBot="1" x14ac:dyDescent="0.4">
      <c r="AG72" s="43"/>
      <c r="AL72" s="43"/>
      <c r="AW72" s="43"/>
      <c r="BH72" s="42"/>
      <c r="BM72" s="42"/>
    </row>
    <row r="73" spans="19:78" ht="15" thickBot="1" x14ac:dyDescent="0.4">
      <c r="AE73" s="11" t="s">
        <v>25</v>
      </c>
      <c r="AF73" s="12"/>
      <c r="AG73" s="12"/>
      <c r="AH73" s="12">
        <f>AH62-AE69/AH68</f>
        <v>102.53596220939119</v>
      </c>
      <c r="AI73" s="13" t="s">
        <v>23</v>
      </c>
      <c r="AL73" s="43"/>
      <c r="AU73" s="11" t="s">
        <v>25</v>
      </c>
      <c r="AV73" s="12"/>
      <c r="AW73" s="12"/>
      <c r="AX73" s="12">
        <f>AX62-AU69/AX68</f>
        <v>109.28383580532706</v>
      </c>
      <c r="AY73" s="13" t="s">
        <v>23</v>
      </c>
      <c r="BH73" s="42"/>
      <c r="BK73" s="11" t="s">
        <v>25</v>
      </c>
      <c r="BL73" s="12"/>
      <c r="BM73" s="12"/>
      <c r="BN73" s="12">
        <f>BN62-BK69/BN68</f>
        <v>126.51693615705589</v>
      </c>
      <c r="BO73" s="13" t="s">
        <v>23</v>
      </c>
    </row>
    <row r="74" spans="19:78" x14ac:dyDescent="0.35">
      <c r="AG74" s="43"/>
      <c r="AL74" s="43"/>
      <c r="AW74" s="43"/>
      <c r="BH74" s="42"/>
      <c r="BM74" s="42"/>
    </row>
    <row r="75" spans="19:78" x14ac:dyDescent="0.35">
      <c r="AG75" s="43"/>
      <c r="AL75" s="43"/>
      <c r="AW75" s="43"/>
      <c r="BH75" s="42"/>
      <c r="BM75" s="42"/>
    </row>
    <row r="76" spans="19:78" x14ac:dyDescent="0.35">
      <c r="AG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BH76" s="42"/>
      <c r="BI76" s="42"/>
      <c r="BJ76" s="42"/>
      <c r="BK76" s="42"/>
      <c r="BL76" s="42"/>
      <c r="BM76" s="42"/>
    </row>
    <row r="77" spans="19:78" x14ac:dyDescent="0.35">
      <c r="AG77" s="43"/>
    </row>
    <row r="82" spans="20:23" x14ac:dyDescent="0.35">
      <c r="T82" t="s">
        <v>46</v>
      </c>
      <c r="U82" t="s">
        <v>45</v>
      </c>
      <c r="W82" t="s">
        <v>47</v>
      </c>
    </row>
    <row r="83" spans="20:23" x14ac:dyDescent="0.35">
      <c r="T83" t="s">
        <v>39</v>
      </c>
      <c r="U83">
        <v>100</v>
      </c>
      <c r="V83">
        <v>126.51705903698569</v>
      </c>
      <c r="W83">
        <f>(V83-AX46)^2</f>
        <v>2.6031732054996063E-9</v>
      </c>
    </row>
    <row r="84" spans="20:23" x14ac:dyDescent="0.35">
      <c r="T84" t="s">
        <v>40</v>
      </c>
      <c r="U84">
        <v>100</v>
      </c>
      <c r="V84">
        <v>164.63750999723547</v>
      </c>
      <c r="W84">
        <f>(V84-BN18)^2</f>
        <v>1.0095691830731966E-9</v>
      </c>
    </row>
    <row r="85" spans="20:23" x14ac:dyDescent="0.35">
      <c r="T85" t="s">
        <v>41</v>
      </c>
      <c r="U85">
        <v>100</v>
      </c>
      <c r="V85">
        <v>84.497656745853817</v>
      </c>
      <c r="W85">
        <f>(V85-AX18)^2</f>
        <v>6.4721906121412581E-9</v>
      </c>
    </row>
    <row r="86" spans="20:23" x14ac:dyDescent="0.35">
      <c r="T86" t="s">
        <v>42</v>
      </c>
      <c r="U86">
        <v>100</v>
      </c>
      <c r="V86">
        <v>126.5170080156842</v>
      </c>
      <c r="W86">
        <f>(V86-BN73)^2</f>
        <v>5.1636624615649138E-9</v>
      </c>
    </row>
    <row r="87" spans="20:23" x14ac:dyDescent="0.35">
      <c r="T87" t="s">
        <v>43</v>
      </c>
      <c r="U87">
        <v>100</v>
      </c>
      <c r="V87">
        <v>109.28387924332502</v>
      </c>
      <c r="W87">
        <f>(V87-AX73)^2</f>
        <v>1.8868596667271232E-9</v>
      </c>
    </row>
    <row r="88" spans="20:23" x14ac:dyDescent="0.35">
      <c r="T88" t="s">
        <v>44</v>
      </c>
      <c r="U88">
        <v>100</v>
      </c>
      <c r="V88">
        <v>123.89936084301056</v>
      </c>
      <c r="W88">
        <f>(V88-BN46)^2</f>
        <v>3.8232393148734476E-9</v>
      </c>
    </row>
    <row r="89" spans="20:23" x14ac:dyDescent="0.35">
      <c r="W89" s="45">
        <f>SUM(W83:W88)</f>
        <v>2.0958694443879544E-8</v>
      </c>
    </row>
  </sheetData>
  <mergeCells count="12">
    <mergeCell ref="AD65:AJ65"/>
    <mergeCell ref="AT65:AZ65"/>
    <mergeCell ref="BJ65:BP65"/>
    <mergeCell ref="BL4:BN4"/>
    <mergeCell ref="BL32:BN32"/>
    <mergeCell ref="BL59:BN59"/>
    <mergeCell ref="AD10:AJ10"/>
    <mergeCell ref="AT10:AZ10"/>
    <mergeCell ref="BJ10:BP10"/>
    <mergeCell ref="AD38:AJ38"/>
    <mergeCell ref="AT38:AZ38"/>
    <mergeCell ref="BJ38:BP3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3" name="Button 40">
              <controlPr defaultSize="0" print="0" autoFill="0" autoPict="0" macro="[0]!Reset">
                <anchor moveWithCells="1" sizeWithCells="1">
                  <from>
                    <xdr:col>0</xdr:col>
                    <xdr:colOff>476250</xdr:colOff>
                    <xdr:row>11</xdr:row>
                    <xdr:rowOff>152400</xdr:rowOff>
                  </from>
                  <to>
                    <xdr:col>2</xdr:col>
                    <xdr:colOff>406400</xdr:colOff>
                    <xdr:row>14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4" name="Button 41">
              <controlPr defaultSize="0" print="0" autoFill="0" autoPict="0" macro="[0]!Simulate">
                <anchor moveWithCells="1" sizeWithCells="1">
                  <from>
                    <xdr:col>0</xdr:col>
                    <xdr:colOff>482600</xdr:colOff>
                    <xdr:row>15</xdr:row>
                    <xdr:rowOff>133350</xdr:rowOff>
                  </from>
                  <to>
                    <xdr:col>2</xdr:col>
                    <xdr:colOff>450850</xdr:colOff>
                    <xdr:row>17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5" name="Button 42">
              <controlPr defaultSize="0" print="0" autoFill="0" autoPict="0" macro="[0]!Optimize">
                <anchor moveWithCells="1" sizeWithCells="1">
                  <from>
                    <xdr:col>0</xdr:col>
                    <xdr:colOff>488950</xdr:colOff>
                    <xdr:row>20</xdr:row>
                    <xdr:rowOff>12700</xdr:rowOff>
                  </from>
                  <to>
                    <xdr:col>2</xdr:col>
                    <xdr:colOff>450850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Ganesh</dc:creator>
  <cp:lastModifiedBy>Aditya Ganesh</cp:lastModifiedBy>
  <dcterms:created xsi:type="dcterms:W3CDTF">2024-07-06T05:49:20Z</dcterms:created>
  <dcterms:modified xsi:type="dcterms:W3CDTF">2024-07-06T09:58:17Z</dcterms:modified>
</cp:coreProperties>
</file>